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8"/>
  <workbookPr/>
  <xr:revisionPtr revIDLastSave="0" documentId="11_AE6035745C5AC9D6C759A76D5D31450AFDAE85B8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Instructions" sheetId="1" r:id="rId1"/>
    <sheet name="Dataset" sheetId="2" r:id="rId2"/>
    <sheet name="Sheet1" sheetId="3" r:id="rId3"/>
  </sheets>
  <definedNames>
    <definedName name="_xlnm._FilterDatabase" localSheetId="1" hidden="1">Dataset!$A$1:$J$35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2" i="2" l="1"/>
  <c r="I2" i="2"/>
  <c r="H2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C48" i="2"/>
  <c r="C47" i="2"/>
  <c r="C45" i="2"/>
  <c r="C44" i="2"/>
  <c r="C40" i="2"/>
  <c r="C39" i="2"/>
  <c r="C38" i="2"/>
</calcChain>
</file>

<file path=xl/sharedStrings.xml><?xml version="1.0" encoding="utf-8"?>
<sst xmlns="http://schemas.openxmlformats.org/spreadsheetml/2006/main" count="170" uniqueCount="124">
  <si>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</si>
  <si>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</si>
  <si>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</si>
  <si>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</si>
  <si>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</si>
  <si>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</si>
  <si>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</si>
  <si>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</si>
  <si>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</si>
  <si>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</si>
  <si>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</si>
  <si>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</si>
  <si>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</si>
  <si>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</si>
  <si>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</si>
  <si>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</si>
  <si>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</si>
  <si>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</si>
  <si>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</si>
  <si>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</si>
  <si>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</si>
  <si>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</si>
  <si>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</si>
  <si>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</si>
  <si>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</si>
  <si>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</si>
  <si>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</si>
  <si>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</si>
  <si>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</si>
  <si>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</si>
  <si>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</si>
  <si>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</si>
  <si>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</si>
  <si>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</si>
  <si>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</si>
  <si>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</si>
  <si>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</si>
  <si>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</si>
  <si>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</si>
  <si>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</si>
  <si>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</si>
  <si>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</si>
  <si>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</si>
  <si>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</si>
  <si>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</si>
  <si>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</si>
  <si>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</si>
  <si>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</si>
  <si>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</si>
  <si>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</si>
  <si>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</si>
  <si>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</si>
  <si>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</si>
  <si>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</si>
  <si>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</si>
  <si>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</si>
  <si>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</si>
  <si>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</si>
  <si>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</si>
  <si>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</si>
  <si>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</si>
  <si>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</si>
  <si>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</si>
  <si>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</si>
  <si>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</si>
  <si>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</si>
  <si>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</si>
  <si>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</si>
  <si>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</si>
  <si>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</si>
  <si>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</si>
  <si>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</si>
  <si>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</si>
  <si>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</si>
  <si>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</si>
  <si>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</si>
  <si>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</si>
  <si>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</si>
  <si>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</si>
  <si>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</si>
  <si>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</si>
  <si>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</si>
  <si>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</si>
  <si>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</si>
  <si>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</si>
  <si>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</si>
  <si>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</si>
  <si>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</si>
  <si>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</si>
  <si>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</si>
  <si>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</si>
  <si>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</si>
  <si>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</si>
  <si>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</si>
  <si>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</si>
  <si>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</si>
  <si>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</si>
  <si>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</si>
  <si>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</si>
  <si>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</si>
  <si>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</si>
  <si>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</si>
  <si>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</si>
  <si>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</si>
  <si>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</si>
  <si>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</si>
  <si>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</si>
  <si>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</si>
  <si>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</si>
  <si>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</si>
  <si>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1. SUM</t>
  </si>
  <si>
    <t>2. Count</t>
  </si>
  <si>
    <t xml:space="preserve">3. Average </t>
  </si>
  <si>
    <t xml:space="preserve">1. Minimum price </t>
  </si>
  <si>
    <t>2. Maximum price</t>
  </si>
  <si>
    <t>Price Range</t>
  </si>
  <si>
    <t>1. SumIf</t>
  </si>
  <si>
    <t>2.CountIf</t>
  </si>
  <si>
    <t>Country Code</t>
  </si>
  <si>
    <t>Month</t>
  </si>
  <si>
    <t xml:space="preserve">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</si>
</sst>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C3" workbookViewId="0">
      <selection activeCell="I27" sqref="I27"/>
    </sheetView>
  </sheetViews>
  <sheetFormatPr defaultColWidth="12.67578125" defaultRowHeight="15" customHeight="1" x14ac:dyDescent="0.15"/>
  <cols>
    <col min="1" max="1" width="12.67578125" customWidth="1"/>
    <col min="2" max="2" width="7.55078125" customWidth="1"/>
    <col min="3" max="6" width="12.67578125" customWidth="1"/>
  </cols>
  <sheetData>
    <row r="1" spans="1:3" ht="15.75" customHeight="1" x14ac:dyDescent="0.15">
      <c r="A1" s="1" t="s">
        <v>0</v>
      </c>
    </row>
    <row r="2" spans="1:3" ht="15.75" customHeight="1" x14ac:dyDescent="0.15"/>
    <row r="3" spans="1:3" ht="15.75" customHeight="1" x14ac:dyDescent="0.15">
      <c r="B3" s="2" t="s">
        <v>1</v>
      </c>
    </row>
    <row r="4" spans="1:3" ht="15.75" customHeight="1" x14ac:dyDescent="0.15">
      <c r="B4" s="2"/>
      <c r="C4" s="3" t="s">
        <v>2</v>
      </c>
    </row>
    <row r="5" spans="1:3" ht="15.75" customHeight="1" x14ac:dyDescent="0.15">
      <c r="B5" s="2"/>
      <c r="C5" s="3" t="s">
        <v>3</v>
      </c>
    </row>
    <row r="6" spans="1:3" ht="15.75" customHeight="1" x14ac:dyDescent="0.15">
      <c r="B6" s="2"/>
      <c r="C6" s="3" t="s">
        <v>4</v>
      </c>
    </row>
    <row r="7" spans="1:3" ht="15.75" customHeight="1" x14ac:dyDescent="0.2">
      <c r="B7" s="4"/>
    </row>
    <row r="8" spans="1:3" ht="15.75" customHeight="1" x14ac:dyDescent="0.15">
      <c r="B8" s="2" t="s">
        <v>5</v>
      </c>
    </row>
    <row r="9" spans="1:3" ht="15.75" customHeight="1" x14ac:dyDescent="0.15">
      <c r="C9" s="3" t="s">
        <v>6</v>
      </c>
    </row>
    <row r="10" spans="1:3" ht="15.75" customHeight="1" x14ac:dyDescent="0.15">
      <c r="C10" s="3" t="s">
        <v>7</v>
      </c>
    </row>
    <row r="11" spans="1:3" ht="15.75" customHeight="1" x14ac:dyDescent="0.2">
      <c r="B11" s="4"/>
    </row>
    <row r="12" spans="1:3" ht="15.75" customHeight="1" x14ac:dyDescent="0.15">
      <c r="B12" s="2" t="s">
        <v>8</v>
      </c>
    </row>
    <row r="13" spans="1:3" ht="15.75" customHeight="1" x14ac:dyDescent="0.15">
      <c r="C13" s="3" t="s">
        <v>9</v>
      </c>
    </row>
    <row r="14" spans="1:3" ht="15.75" customHeight="1" x14ac:dyDescent="0.2">
      <c r="B14" s="4"/>
    </row>
    <row r="15" spans="1:3" ht="15.75" customHeight="1" x14ac:dyDescent="0.15">
      <c r="B15" s="2" t="s">
        <v>10</v>
      </c>
    </row>
    <row r="16" spans="1:3" ht="15.75" customHeight="1" x14ac:dyDescent="0.15">
      <c r="C16" s="3" t="s">
        <v>11</v>
      </c>
    </row>
    <row r="17" spans="2:3" ht="15.75" customHeight="1" x14ac:dyDescent="0.15">
      <c r="C17" s="3" t="s">
        <v>12</v>
      </c>
    </row>
    <row r="18" spans="2:3" ht="15.75" customHeight="1" x14ac:dyDescent="0.2">
      <c r="B18" s="4"/>
    </row>
    <row r="19" spans="2:3" ht="15.75" customHeight="1" x14ac:dyDescent="0.15">
      <c r="B19" s="2" t="s">
        <v>13</v>
      </c>
    </row>
    <row r="20" spans="2:3" ht="15.75" customHeight="1" x14ac:dyDescent="0.15">
      <c r="C20" s="3" t="s">
        <v>14</v>
      </c>
    </row>
    <row r="21" spans="2:3" ht="15.75" customHeight="1" x14ac:dyDescent="0.15">
      <c r="C21" s="3" t="s">
        <v>15</v>
      </c>
    </row>
    <row r="22" spans="2:3" ht="15.75" customHeight="1" x14ac:dyDescent="0.15">
      <c r="C22" s="3" t="s">
        <v>16</v>
      </c>
    </row>
    <row r="23" spans="2:3" ht="15.75" customHeight="1" x14ac:dyDescent="0.2">
      <c r="B23" s="4"/>
    </row>
    <row r="24" spans="2:3" ht="15.75" customHeight="1" x14ac:dyDescent="0.15"/>
    <row r="25" spans="2:3" ht="15.75" customHeight="1" x14ac:dyDescent="0.15"/>
    <row r="26" spans="2:3" ht="15.75" customHeight="1" x14ac:dyDescent="0.15"/>
    <row r="27" spans="2:3" ht="15.75" customHeight="1" x14ac:dyDescent="0.15"/>
    <row r="28" spans="2:3" ht="15.75" customHeight="1" x14ac:dyDescent="0.15"/>
    <row r="29" spans="2:3" ht="15.75" customHeight="1" x14ac:dyDescent="0.15"/>
    <row r="30" spans="2:3" ht="15.75" customHeight="1" x14ac:dyDescent="0.15"/>
    <row r="31" spans="2:3" ht="15.75" customHeight="1" x14ac:dyDescent="0.15"/>
    <row r="32" spans="2:3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topLeftCell="E1" workbookViewId="0">
      <selection activeCell="J1" sqref="J1"/>
    </sheetView>
  </sheetViews>
  <sheetFormatPr defaultColWidth="12.67578125" defaultRowHeight="15" customHeight="1" x14ac:dyDescent="0.15"/>
  <cols>
    <col min="1" max="1" width="12.67578125" customWidth="1"/>
    <col min="2" max="2" width="14.15625" customWidth="1"/>
    <col min="3" max="6" width="12.67578125" customWidth="1"/>
  </cols>
  <sheetData>
    <row r="1" spans="1:10" ht="15.75" customHeight="1" x14ac:dyDescent="0.1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 t="s">
        <v>115</v>
      </c>
      <c r="H1" t="s">
        <v>120</v>
      </c>
      <c r="I1" t="s">
        <v>118</v>
      </c>
      <c r="J1" t="s">
        <v>119</v>
      </c>
    </row>
    <row r="2" spans="1:10" ht="15.75" customHeight="1" x14ac:dyDescent="0.1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8" t="str">
        <f>IF(D2&gt;=500,"High Price","Standard Price")</f>
        <v>High Price</v>
      </c>
      <c r="H2" t="str">
        <f>LEFT(A2,2)</f>
        <v>28</v>
      </c>
      <c r="I2" t="str">
        <f>RIGHT(A2,2)</f>
        <v>US</v>
      </c>
      <c r="J2" t="str">
        <f>MID(A2,6,4)</f>
        <v>N-US</v>
      </c>
    </row>
    <row r="3" spans="1:10" ht="15.75" customHeight="1" x14ac:dyDescent="0.15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  <c r="G3" s="8" t="str">
        <f t="shared" ref="G3:G35" si="0">IF(D3&gt;=500,"High Price","Standard Price")</f>
        <v>Standard Price</v>
      </c>
    </row>
    <row r="4" spans="1:10" ht="15.75" customHeight="1" x14ac:dyDescent="0.1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8" t="str">
        <f t="shared" si="0"/>
        <v>Standard Price</v>
      </c>
    </row>
    <row r="5" spans="1:10" ht="15.75" customHeight="1" x14ac:dyDescent="0.15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  <c r="G5" s="8" t="str">
        <f t="shared" si="0"/>
        <v>High Price</v>
      </c>
    </row>
    <row r="6" spans="1:10" ht="15.75" customHeight="1" x14ac:dyDescent="0.1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8" t="str">
        <f t="shared" si="0"/>
        <v>Standard Price</v>
      </c>
    </row>
    <row r="7" spans="1:10" ht="15.75" customHeight="1" x14ac:dyDescent="0.15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  <c r="G7" s="8" t="str">
        <f t="shared" si="0"/>
        <v>Standard Price</v>
      </c>
    </row>
    <row r="8" spans="1:10" ht="15.75" customHeight="1" x14ac:dyDescent="0.1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8" t="str">
        <f t="shared" si="0"/>
        <v>Standard Price</v>
      </c>
    </row>
    <row r="9" spans="1:10" ht="15.75" customHeight="1" x14ac:dyDescent="0.15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  <c r="G9" s="8" t="str">
        <f t="shared" si="0"/>
        <v>Standard Price</v>
      </c>
    </row>
    <row r="10" spans="1:10" ht="15.75" customHeight="1" x14ac:dyDescent="0.1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8" t="str">
        <f t="shared" si="0"/>
        <v>High Price</v>
      </c>
    </row>
    <row r="11" spans="1:10" ht="15.75" customHeight="1" x14ac:dyDescent="0.15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  <c r="G11" s="8" t="str">
        <f t="shared" si="0"/>
        <v>Standard Price</v>
      </c>
    </row>
    <row r="12" spans="1:10" ht="15.75" customHeight="1" x14ac:dyDescent="0.1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8" t="str">
        <f t="shared" si="0"/>
        <v>High Price</v>
      </c>
    </row>
    <row r="13" spans="1:10" ht="15.75" customHeight="1" x14ac:dyDescent="0.15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  <c r="G13" s="8" t="str">
        <f t="shared" si="0"/>
        <v>Standard Price</v>
      </c>
    </row>
    <row r="14" spans="1:10" ht="15.75" customHeight="1" x14ac:dyDescent="0.1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8" t="str">
        <f t="shared" si="0"/>
        <v>Standard Price</v>
      </c>
    </row>
    <row r="15" spans="1:10" ht="15.75" customHeight="1" x14ac:dyDescent="0.15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  <c r="G15" s="8" t="str">
        <f t="shared" si="0"/>
        <v>Standard Price</v>
      </c>
    </row>
    <row r="16" spans="1:10" ht="15.75" customHeight="1" x14ac:dyDescent="0.1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8" t="str">
        <f t="shared" si="0"/>
        <v>Standard Price</v>
      </c>
    </row>
    <row r="17" spans="1:7" ht="15.75" customHeight="1" x14ac:dyDescent="0.15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  <c r="G17" s="8" t="str">
        <f t="shared" si="0"/>
        <v>Standard Price</v>
      </c>
    </row>
    <row r="18" spans="1:7" ht="15.75" customHeight="1" x14ac:dyDescent="0.1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8" t="str">
        <f t="shared" si="0"/>
        <v>Standard Price</v>
      </c>
    </row>
    <row r="19" spans="1:7" ht="15.75" customHeight="1" x14ac:dyDescent="0.15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  <c r="G19" s="8" t="str">
        <f t="shared" si="0"/>
        <v>High Price</v>
      </c>
    </row>
    <row r="20" spans="1:7" ht="15.75" customHeight="1" x14ac:dyDescent="0.1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8" t="str">
        <f t="shared" si="0"/>
        <v>Standard Price</v>
      </c>
    </row>
    <row r="21" spans="1:7" ht="15.75" customHeight="1" x14ac:dyDescent="0.15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  <c r="G21" s="8" t="str">
        <f t="shared" si="0"/>
        <v>Standard Price</v>
      </c>
    </row>
    <row r="22" spans="1:7" ht="15.75" customHeight="1" x14ac:dyDescent="0.1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8" t="str">
        <f t="shared" si="0"/>
        <v>High Price</v>
      </c>
    </row>
    <row r="23" spans="1:7" ht="15.75" customHeight="1" x14ac:dyDescent="0.15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  <c r="G23" s="8" t="str">
        <f t="shared" si="0"/>
        <v>Standard Price</v>
      </c>
    </row>
    <row r="24" spans="1:7" ht="15.75" customHeight="1" x14ac:dyDescent="0.1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8" t="str">
        <f t="shared" si="0"/>
        <v>Standard Price</v>
      </c>
    </row>
    <row r="25" spans="1:7" ht="15.75" customHeight="1" x14ac:dyDescent="0.15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9" t="s">
        <v>70</v>
      </c>
      <c r="G25" s="8" t="str">
        <f t="shared" si="0"/>
        <v>Standard Price</v>
      </c>
    </row>
    <row r="26" spans="1:7" ht="15.75" customHeight="1" x14ac:dyDescent="0.1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8" t="str">
        <f t="shared" si="0"/>
        <v>High Price</v>
      </c>
    </row>
    <row r="27" spans="1:7" ht="15.75" customHeight="1" x14ac:dyDescent="0.15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9" t="s">
        <v>30</v>
      </c>
      <c r="G27" s="8" t="str">
        <f t="shared" si="0"/>
        <v>Standard Price</v>
      </c>
    </row>
    <row r="28" spans="1:7" ht="15.75" customHeight="1" x14ac:dyDescent="0.1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8" t="str">
        <f t="shared" si="0"/>
        <v>Standard Price</v>
      </c>
    </row>
    <row r="29" spans="1:7" ht="15.75" customHeight="1" x14ac:dyDescent="0.15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9" t="s">
        <v>26</v>
      </c>
      <c r="G29" s="8" t="str">
        <f t="shared" si="0"/>
        <v>Standard Price</v>
      </c>
    </row>
    <row r="30" spans="1:7" ht="15.75" customHeight="1" x14ac:dyDescent="0.1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8" t="str">
        <f t="shared" si="0"/>
        <v>Standard Price</v>
      </c>
    </row>
    <row r="31" spans="1:7" ht="15.75" customHeight="1" x14ac:dyDescent="0.15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9" t="s">
        <v>34</v>
      </c>
      <c r="G31" s="8" t="str">
        <f t="shared" si="0"/>
        <v>Standard Price</v>
      </c>
    </row>
    <row r="32" spans="1:7" ht="15.75" customHeight="1" x14ac:dyDescent="0.1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8" t="str">
        <f t="shared" si="0"/>
        <v>Standard Price</v>
      </c>
    </row>
    <row r="33" spans="1:7" ht="15.75" customHeight="1" x14ac:dyDescent="0.15">
      <c r="A33" s="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9" t="s">
        <v>30</v>
      </c>
      <c r="G33" s="8" t="str">
        <f t="shared" si="0"/>
        <v>Standard Price</v>
      </c>
    </row>
    <row r="34" spans="1:7" ht="15.75" customHeight="1" x14ac:dyDescent="0.1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8" t="str">
        <f t="shared" si="0"/>
        <v>High Price</v>
      </c>
    </row>
    <row r="35" spans="1:7" ht="15.75" customHeight="1" x14ac:dyDescent="0.15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9" t="s">
        <v>70</v>
      </c>
      <c r="G35" s="8" t="str">
        <f t="shared" si="0"/>
        <v>Standard Price</v>
      </c>
    </row>
    <row r="36" spans="1:7" ht="15.75" customHeight="1" x14ac:dyDescent="0.15"/>
    <row r="37" spans="1:7" ht="15.75" customHeight="1" x14ac:dyDescent="0.15"/>
    <row r="38" spans="1:7" ht="15.75" customHeight="1" x14ac:dyDescent="0.15">
      <c r="A38">
        <v>1</v>
      </c>
      <c r="B38" t="s">
        <v>110</v>
      </c>
      <c r="C38">
        <f>SUM(D2:D35)</f>
        <v>10100</v>
      </c>
    </row>
    <row r="39" spans="1:7" ht="15.75" customHeight="1" x14ac:dyDescent="0.15">
      <c r="B39" t="s">
        <v>111</v>
      </c>
      <c r="C39">
        <f>COUNT(D2:D35)</f>
        <v>34</v>
      </c>
    </row>
    <row r="40" spans="1:7" ht="15.75" customHeight="1" x14ac:dyDescent="0.15">
      <c r="B40" t="s">
        <v>112</v>
      </c>
      <c r="C40">
        <f>AVERAGE(D2:D35)</f>
        <v>297.05882352941177</v>
      </c>
    </row>
    <row r="41" spans="1:7" ht="15.75" customHeight="1" x14ac:dyDescent="0.15"/>
    <row r="42" spans="1:7" ht="15.75" customHeight="1" x14ac:dyDescent="0.15"/>
    <row r="43" spans="1:7" ht="15.75" customHeight="1" x14ac:dyDescent="0.15"/>
    <row r="44" spans="1:7" ht="15.75" customHeight="1" x14ac:dyDescent="0.15">
      <c r="A44">
        <v>2</v>
      </c>
      <c r="B44" t="s">
        <v>113</v>
      </c>
      <c r="C44">
        <f>MIN(D2:D35)</f>
        <v>30</v>
      </c>
    </row>
    <row r="45" spans="1:7" ht="15.75" customHeight="1" x14ac:dyDescent="0.15">
      <c r="B45" t="s">
        <v>114</v>
      </c>
      <c r="C45">
        <f>MAX(D2:D35)</f>
        <v>1000</v>
      </c>
    </row>
    <row r="46" spans="1:7" ht="15.75" customHeight="1" x14ac:dyDescent="0.15"/>
    <row r="47" spans="1:7" ht="15.75" customHeight="1" x14ac:dyDescent="0.15">
      <c r="A47">
        <v>4</v>
      </c>
      <c r="B47" t="s">
        <v>116</v>
      </c>
      <c r="C47">
        <f>SUMIF(F2:F35,"electronics",D2:D35)</f>
        <v>8050</v>
      </c>
    </row>
    <row r="48" spans="1:7" ht="15.75" customHeight="1" x14ac:dyDescent="0.15">
      <c r="B48" t="s">
        <v>117</v>
      </c>
      <c r="C48">
        <f>COUNTIF(D2:D35,"&lt;100")</f>
        <v>11</v>
      </c>
    </row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autoFilter ref="A1:J35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C3000-40B8-D443-8838-B668085D189D}">
  <dimension ref="A1"/>
  <sheetViews>
    <sheetView zoomScaleNormal="100" zoomScaleSheetLayoutView="100" workbookViewId="0"/>
  </sheetViews>
  <sheetFormatPr defaultRowHeight="12.75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Resna Ibrahim</dc:creator>
  <dcterms:created xsi:type="dcterms:W3CDTF">2026-09-01T20:43:06Z</dcterms:created>
</cp:coreProperties>
</file>