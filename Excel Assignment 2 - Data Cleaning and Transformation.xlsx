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een\Downloads\"/>
    </mc:Choice>
  </mc:AlternateContent>
  <xr:revisionPtr revIDLastSave="0" documentId="13_ncr:1_{42CBDFA2-2908-4AE9-A1F2-54299F35927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G4" i="2" l="1"/>
  <c r="G5" i="2"/>
  <c r="G6" i="2"/>
  <c r="G7" i="2"/>
  <c r="G8" i="2"/>
  <c r="G9" i="2"/>
  <c r="G10" i="2"/>
  <c r="G11" i="2"/>
  <c r="G12" i="2"/>
  <c r="G13" i="2"/>
  <c r="G14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G3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" i="2"/>
  <c r="H4" i="2"/>
  <c r="H5" i="2"/>
  <c r="H6" i="2"/>
  <c r="H7" i="2"/>
  <c r="H2" i="2"/>
  <c r="F46" i="2"/>
  <c r="D26" i="2"/>
  <c r="D7" i="2"/>
  <c r="D21" i="2"/>
</calcChain>
</file>

<file path=xl/sharedStrings.xml><?xml version="1.0" encoding="utf-8"?>
<sst xmlns="http://schemas.openxmlformats.org/spreadsheetml/2006/main" count="171" uniqueCount="125">
  <si>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</si>
  <si>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</si>
  <si>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</si>
  <si>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</si>
  <si>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</si>
  <si>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</si>
  <si>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</si>
  <si>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</si>
  <si>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</si>
  <si>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</si>
  <si>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</si>
  <si>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</si>
  <si>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</si>
  <si>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</si>
  <si>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</si>
  <si>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</si>
  <si>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</si>
  <si>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</si>
  <si>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</si>
  <si>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</si>
  <si>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</si>
  <si>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</si>
  <si>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</si>
  <si>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</si>
  <si>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</si>
  <si>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</si>
  <si>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</si>
  <si>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</si>
  <si>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</si>
  <si>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</si>
  <si>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</si>
  <si>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</si>
  <si>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</si>
  <si>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</si>
  <si>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</si>
  <si>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</si>
  <si>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</si>
  <si>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</si>
  <si>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</si>
  <si>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</si>
  <si>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</si>
  <si>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</si>
  <si>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</si>
  <si>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</si>
  <si>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</si>
  <si>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</si>
  <si>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</si>
  <si>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</si>
  <si>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</si>
  <si>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</si>
  <si>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</si>
  <si>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</si>
  <si>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</si>
  <si>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</si>
  <si>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</si>
  <si>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</si>
  <si>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</si>
  <si>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</si>
  <si>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</si>
  <si>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</si>
  <si>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</si>
  <si>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</si>
  <si>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</si>
  <si>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</si>
  <si>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</si>
  <si>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</si>
  <si>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</si>
  <si>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</si>
  <si>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</si>
  <si>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</si>
  <si>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</si>
  <si>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</si>
  <si>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</si>
  <si>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</si>
  <si>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</si>
  <si>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</si>
  <si>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</si>
  <si>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</si>
  <si>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</si>
  <si>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</si>
  <si>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</si>
  <si>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</si>
  <si>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</si>
  <si>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</si>
  <si>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</si>
  <si>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</si>
  <si>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</si>
  <si>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</si>
  <si>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</si>
  <si>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</si>
  <si>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</si>
  <si>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</si>
  <si>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</si>
  <si>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</si>
  <si>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</si>
  <si>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</si>
  <si>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</si>
  <si>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</si>
  <si>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</si>
  <si>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</si>
  <si>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</si>
  <si>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</si>
  <si>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</si>
  <si>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</si>
  <si>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</si>
  <si>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</si>
  <si>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</si>
  <si>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</si>
  <si>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</si>
  <si>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</si>
  <si>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</si>
  <si>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</si>
  <si>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Handling Missing Values</t>
  </si>
  <si>
    <t>Price Column</t>
  </si>
  <si>
    <t xml:space="preserve">I Checked the price column and found 3 missing values in Headphones,Camping Tent,Sunglasses.These missing values can be handled </t>
  </si>
  <si>
    <t>by replacing them with the median price of the respective category.</t>
  </si>
  <si>
    <t>I  checked the category column and found 4 products with missing categories.Backpack,Sneakers,Coffee Maker,and Fitness Tracker.</t>
  </si>
  <si>
    <t>These categories can be identified from the product names and assigned as Accessories,Fashion,Kitchen,and Electronics respectively.</t>
  </si>
  <si>
    <t>Product Name Inconsistencies</t>
  </si>
  <si>
    <t>Category typo</t>
  </si>
  <si>
    <t>Removing Duplicates</t>
  </si>
  <si>
    <t>3 duplicate rows in dataset</t>
  </si>
  <si>
    <t>Country Code</t>
  </si>
  <si>
    <t>Manufacturing Date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</si>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</sst>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9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164" fontId="7" fillId="2" borderId="0" xfId="0" applyNumberFormat="1" applyFont="1" applyFill="1" applyAlignment="1">
      <alignment horizontal="center"/>
    </xf>
    <xf numFmtId="164" fontId="5" fillId="0" borderId="0" xfId="0" applyNumberFormat="1" applyFont="1"/>
    <xf numFmtId="164" fontId="5" fillId="3" borderId="0" xfId="0" applyNumberFormat="1" applyFont="1" applyFill="1"/>
    <xf numFmtId="0" fontId="8" fillId="0" borderId="0" xfId="0" applyFont="1"/>
  </cellXfs>
  <cellStyles count="1">
    <cellStyle name="Normal" xfId="0" builtinId="0"/>
  </cellStyles>
  <dxfs count="4">
    <dxf>
      <fill>
        <patternFill>
          <bgColor theme="6" tint="0.59996337778862885"/>
        </patternFill>
      </fill>
    </dxf>
    <dxf>
      <fill>
        <patternFill>
          <bgColor theme="5"/>
        </patternFill>
      </fill>
    </dxf>
    <dxf>
      <numFmt numFmtId="0" formatCode="General"/>
      <fill>
        <patternFill>
          <bgColor theme="5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4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1000"/>
  <sheetViews>
    <sheetView tabSelected="1" workbookViewId="0">
      <selection activeCell="G43" sqref="G43"/>
    </sheetView>
  </sheetViews>
  <sheetFormatPr defaultColWidth="12.6640625" defaultRowHeight="15" customHeight="1" x14ac:dyDescent="0.25"/>
  <cols>
    <col min="1" max="6" width="12.6640625" customWidth="1"/>
    <col min="7" max="7" width="19" customWidth="1"/>
    <col min="9" max="9" width="21" customWidth="1"/>
  </cols>
  <sheetData>
    <row r="1" spans="1:18" ht="15.75" customHeight="1" x14ac:dyDescent="0.25">
      <c r="A1" s="7" t="s">
        <v>19</v>
      </c>
      <c r="B1" s="7" t="s">
        <v>20</v>
      </c>
      <c r="C1" s="7" t="s">
        <v>21</v>
      </c>
      <c r="D1" s="9" t="s">
        <v>22</v>
      </c>
      <c r="E1" s="7" t="s">
        <v>23</v>
      </c>
      <c r="F1" s="7" t="s">
        <v>24</v>
      </c>
      <c r="G1" s="7" t="s">
        <v>123</v>
      </c>
      <c r="H1" s="7" t="s">
        <v>122</v>
      </c>
      <c r="I1" s="7" t="s">
        <v>124</v>
      </c>
    </row>
    <row r="2" spans="1:18" ht="15.75" customHeight="1" x14ac:dyDescent="0.25">
      <c r="A2" s="5" t="s">
        <v>25</v>
      </c>
      <c r="B2" s="5" t="s">
        <v>58</v>
      </c>
      <c r="C2" s="5" t="s">
        <v>26</v>
      </c>
      <c r="D2" s="10">
        <v>1000</v>
      </c>
      <c r="E2" s="5">
        <v>30</v>
      </c>
      <c r="F2" s="12" t="s">
        <v>27</v>
      </c>
      <c r="G2" t="str">
        <f>LEFT(A2,2)</f>
        <v>28</v>
      </c>
      <c r="H2" t="str">
        <f>RIGHT(A2,2)</f>
        <v>US</v>
      </c>
      <c r="I2" t="str">
        <f>B2&amp;" " &amp;C2</f>
        <v>Laptop Dell</v>
      </c>
    </row>
    <row r="3" spans="1:18" ht="15.75" customHeight="1" x14ac:dyDescent="0.3">
      <c r="A3" s="8" t="s">
        <v>28</v>
      </c>
      <c r="B3" s="8" t="s">
        <v>29</v>
      </c>
      <c r="C3" s="8" t="s">
        <v>30</v>
      </c>
      <c r="D3" s="11">
        <v>80</v>
      </c>
      <c r="E3" s="8">
        <v>15</v>
      </c>
      <c r="F3" s="8" t="s">
        <v>31</v>
      </c>
      <c r="G3" t="str">
        <f t="shared" ref="G3:G32" si="0">LEFT(A3,2)</f>
        <v>15</v>
      </c>
      <c r="H3" t="str">
        <f t="shared" ref="H3:H32" si="1">RIGHT(A3,2)</f>
        <v>US</v>
      </c>
      <c r="I3" t="str">
        <f t="shared" ref="I3:I32" si="2">B3&amp;" " &amp;C3</f>
        <v>Sneakers Nike</v>
      </c>
      <c r="K3" s="2"/>
      <c r="L3" s="5"/>
      <c r="M3" s="5"/>
      <c r="N3" s="5"/>
      <c r="O3" s="5"/>
      <c r="P3" s="5"/>
      <c r="Q3" s="5"/>
      <c r="R3" s="5"/>
    </row>
    <row r="4" spans="1:18" ht="15.75" customHeight="1" x14ac:dyDescent="0.3">
      <c r="A4" s="5" t="s">
        <v>32</v>
      </c>
      <c r="B4" s="5" t="s">
        <v>33</v>
      </c>
      <c r="C4" s="5" t="s">
        <v>34</v>
      </c>
      <c r="D4" s="10">
        <v>130</v>
      </c>
      <c r="E4" s="5">
        <v>40</v>
      </c>
      <c r="F4" s="5" t="s">
        <v>35</v>
      </c>
      <c r="G4" t="str">
        <f t="shared" si="0"/>
        <v>03</v>
      </c>
      <c r="H4" t="str">
        <f t="shared" si="1"/>
        <v>US</v>
      </c>
      <c r="I4" t="str">
        <f t="shared" si="2"/>
        <v>Coffee Maker Keurig</v>
      </c>
      <c r="K4" s="5"/>
      <c r="L4" s="3"/>
      <c r="M4" s="5"/>
      <c r="N4" s="5"/>
      <c r="O4" s="5"/>
      <c r="P4" s="5"/>
      <c r="Q4" s="5"/>
      <c r="R4" s="5"/>
    </row>
    <row r="5" spans="1:18" ht="15.75" customHeight="1" x14ac:dyDescent="0.3">
      <c r="A5" s="8" t="s">
        <v>36</v>
      </c>
      <c r="B5" s="8" t="s">
        <v>92</v>
      </c>
      <c r="C5" s="8" t="s">
        <v>37</v>
      </c>
      <c r="D5" s="11">
        <v>900</v>
      </c>
      <c r="E5" s="8">
        <v>25</v>
      </c>
      <c r="F5" s="8" t="s">
        <v>27</v>
      </c>
      <c r="G5" t="str">
        <f t="shared" si="0"/>
        <v>11</v>
      </c>
      <c r="H5" t="str">
        <f t="shared" si="1"/>
        <v>US</v>
      </c>
      <c r="I5" t="str">
        <f t="shared" si="2"/>
        <v>Smartphone Samsung</v>
      </c>
      <c r="K5" s="5"/>
      <c r="L5" s="3"/>
      <c r="M5" s="5"/>
      <c r="N5" s="5"/>
      <c r="O5" s="5"/>
      <c r="P5" s="5"/>
      <c r="Q5" s="5"/>
      <c r="R5" s="5"/>
    </row>
    <row r="6" spans="1:18" ht="15.75" customHeight="1" x14ac:dyDescent="0.25">
      <c r="A6" s="5" t="s">
        <v>38</v>
      </c>
      <c r="B6" s="5" t="s">
        <v>39</v>
      </c>
      <c r="C6" s="5" t="s">
        <v>40</v>
      </c>
      <c r="D6" s="10">
        <v>70</v>
      </c>
      <c r="E6" s="5">
        <v>20</v>
      </c>
      <c r="F6" s="5" t="s">
        <v>71</v>
      </c>
      <c r="G6" t="str">
        <f t="shared" si="0"/>
        <v>22</v>
      </c>
      <c r="H6" t="str">
        <f t="shared" si="1"/>
        <v>US</v>
      </c>
      <c r="I6" t="str">
        <f t="shared" si="2"/>
        <v>Backpack North Face</v>
      </c>
    </row>
    <row r="7" spans="1:18" ht="15.75" customHeight="1" x14ac:dyDescent="0.25">
      <c r="A7" s="8" t="s">
        <v>41</v>
      </c>
      <c r="B7" s="8" t="s">
        <v>42</v>
      </c>
      <c r="C7" s="8" t="s">
        <v>43</v>
      </c>
      <c r="D7" s="10">
        <f ca="1">MEDIAN(D2:D35)</f>
        <v>0</v>
      </c>
      <c r="E7" s="8">
        <v>45</v>
      </c>
      <c r="F7" s="8" t="s">
        <v>27</v>
      </c>
      <c r="G7" t="str">
        <f t="shared" si="0"/>
        <v>07</v>
      </c>
      <c r="H7" t="str">
        <f t="shared" si="1"/>
        <v>UK</v>
      </c>
      <c r="I7" t="str">
        <f t="shared" si="2"/>
        <v>Headphones Sony</v>
      </c>
    </row>
    <row r="8" spans="1:18" ht="15.75" customHeight="1" x14ac:dyDescent="0.25">
      <c r="A8" s="5" t="s">
        <v>44</v>
      </c>
      <c r="B8" s="5" t="s">
        <v>45</v>
      </c>
      <c r="C8" s="5" t="s">
        <v>46</v>
      </c>
      <c r="D8" s="10">
        <v>30</v>
      </c>
      <c r="E8" s="5">
        <v>5</v>
      </c>
      <c r="F8" s="5" t="s">
        <v>31</v>
      </c>
      <c r="G8" t="str">
        <f t="shared" si="0"/>
        <v>19</v>
      </c>
      <c r="H8" t="str">
        <f t="shared" si="1"/>
        <v>UK</v>
      </c>
      <c r="I8" t="str">
        <f t="shared" si="2"/>
        <v>T-shirt Adidas</v>
      </c>
    </row>
    <row r="9" spans="1:18" ht="15.75" customHeight="1" x14ac:dyDescent="0.25">
      <c r="A9" s="8" t="s">
        <v>47</v>
      </c>
      <c r="B9" s="8" t="s">
        <v>48</v>
      </c>
      <c r="C9" s="8" t="s">
        <v>49</v>
      </c>
      <c r="D9" s="11">
        <v>90</v>
      </c>
      <c r="E9" s="8">
        <v>35</v>
      </c>
      <c r="F9" s="8" t="s">
        <v>35</v>
      </c>
      <c r="G9" t="str">
        <f t="shared" si="0"/>
        <v>23</v>
      </c>
      <c r="H9" t="str">
        <f t="shared" si="1"/>
        <v>UK</v>
      </c>
      <c r="I9" t="str">
        <f t="shared" si="2"/>
        <v>Blender Ninja</v>
      </c>
    </row>
    <row r="10" spans="1:18" ht="15.75" customHeight="1" x14ac:dyDescent="0.25">
      <c r="A10" s="5" t="s">
        <v>50</v>
      </c>
      <c r="B10" s="5" t="s">
        <v>51</v>
      </c>
      <c r="C10" s="5" t="s">
        <v>52</v>
      </c>
      <c r="D10" s="10">
        <v>500</v>
      </c>
      <c r="E10" s="5">
        <v>50</v>
      </c>
      <c r="F10" s="5" t="s">
        <v>27</v>
      </c>
      <c r="G10" t="str">
        <f t="shared" si="0"/>
        <v>05</v>
      </c>
      <c r="H10" t="str">
        <f t="shared" si="1"/>
        <v>UK</v>
      </c>
      <c r="I10" t="str">
        <f t="shared" si="2"/>
        <v>Tablet Apple</v>
      </c>
    </row>
    <row r="11" spans="1:18" ht="15.75" customHeight="1" x14ac:dyDescent="0.25">
      <c r="A11" s="8" t="s">
        <v>53</v>
      </c>
      <c r="B11" s="8" t="s">
        <v>54</v>
      </c>
      <c r="C11" s="8" t="s">
        <v>55</v>
      </c>
      <c r="D11" s="11">
        <v>130</v>
      </c>
      <c r="E11" s="8">
        <v>10</v>
      </c>
      <c r="F11" s="8" t="s">
        <v>56</v>
      </c>
      <c r="G11" t="str">
        <f t="shared" si="0"/>
        <v>14</v>
      </c>
      <c r="H11" t="str">
        <f t="shared" si="1"/>
        <v>UK</v>
      </c>
      <c r="I11" t="str">
        <f t="shared" si="2"/>
        <v>Hiking Boots Timberland</v>
      </c>
    </row>
    <row r="12" spans="1:18" ht="15.75" customHeight="1" x14ac:dyDescent="0.25">
      <c r="A12" s="5" t="s">
        <v>57</v>
      </c>
      <c r="B12" s="5" t="s">
        <v>58</v>
      </c>
      <c r="C12" s="5" t="s">
        <v>59</v>
      </c>
      <c r="D12" s="10">
        <v>950</v>
      </c>
      <c r="E12" s="5">
        <v>25</v>
      </c>
      <c r="F12" s="5" t="s">
        <v>27</v>
      </c>
      <c r="G12" t="str">
        <f t="shared" si="0"/>
        <v>17</v>
      </c>
      <c r="H12" t="str">
        <f t="shared" si="1"/>
        <v>IN</v>
      </c>
      <c r="I12" t="str">
        <f t="shared" si="2"/>
        <v>Laptop HP</v>
      </c>
    </row>
    <row r="13" spans="1:18" ht="15.75" customHeight="1" x14ac:dyDescent="0.25">
      <c r="A13" s="8" t="s">
        <v>60</v>
      </c>
      <c r="B13" s="8" t="s">
        <v>29</v>
      </c>
      <c r="C13" s="8" t="s">
        <v>46</v>
      </c>
      <c r="D13" s="11">
        <v>90</v>
      </c>
      <c r="E13" s="8">
        <v>40</v>
      </c>
      <c r="F13" s="8" t="s">
        <v>31</v>
      </c>
      <c r="G13" t="str">
        <f t="shared" si="0"/>
        <v>25</v>
      </c>
      <c r="H13" t="str">
        <f t="shared" si="1"/>
        <v>AU</v>
      </c>
      <c r="I13" t="str">
        <f t="shared" si="2"/>
        <v>Sneakers Adidas</v>
      </c>
    </row>
    <row r="14" spans="1:18" ht="15.75" customHeight="1" x14ac:dyDescent="0.25">
      <c r="A14" s="5" t="s">
        <v>61</v>
      </c>
      <c r="B14" s="5" t="s">
        <v>33</v>
      </c>
      <c r="C14" s="5" t="s">
        <v>62</v>
      </c>
      <c r="D14" s="10">
        <v>120</v>
      </c>
      <c r="E14" s="5">
        <v>35</v>
      </c>
      <c r="F14" s="5" t="s">
        <v>35</v>
      </c>
      <c r="G14" t="str">
        <f t="shared" si="0"/>
        <v>08</v>
      </c>
      <c r="H14" t="str">
        <f t="shared" si="1"/>
        <v>DE</v>
      </c>
      <c r="I14" t="str">
        <f t="shared" si="2"/>
        <v>Coffee Maker Nespresso</v>
      </c>
    </row>
    <row r="15" spans="1:18" ht="15.75" customHeight="1" x14ac:dyDescent="0.25">
      <c r="A15" s="8" t="s">
        <v>63</v>
      </c>
      <c r="B15" s="8" t="s">
        <v>64</v>
      </c>
      <c r="C15" s="8" t="s">
        <v>65</v>
      </c>
      <c r="D15" s="11">
        <v>150</v>
      </c>
      <c r="E15" s="8">
        <v>15</v>
      </c>
      <c r="F15" s="8" t="s">
        <v>27</v>
      </c>
      <c r="G15" t="str">
        <f t="shared" si="0"/>
        <v>18</v>
      </c>
      <c r="H15" t="str">
        <f t="shared" si="1"/>
        <v>CA</v>
      </c>
      <c r="I15" t="str">
        <f t="shared" si="2"/>
        <v>Smartwatch Fitbit</v>
      </c>
    </row>
    <row r="16" spans="1:18" ht="15.75" customHeight="1" x14ac:dyDescent="0.25">
      <c r="A16" s="5" t="s">
        <v>66</v>
      </c>
      <c r="B16" s="5" t="s">
        <v>42</v>
      </c>
      <c r="C16" s="5" t="s">
        <v>67</v>
      </c>
      <c r="D16" s="10">
        <v>250</v>
      </c>
      <c r="E16" s="5">
        <v>20</v>
      </c>
      <c r="F16" s="5" t="s">
        <v>27</v>
      </c>
      <c r="G16" t="str">
        <f t="shared" si="0"/>
        <v>16</v>
      </c>
      <c r="H16" t="str">
        <f t="shared" si="1"/>
        <v>ES</v>
      </c>
      <c r="I16" t="str">
        <f t="shared" si="2"/>
        <v>Headphones Bose</v>
      </c>
    </row>
    <row r="17" spans="1:9" ht="15.75" customHeight="1" x14ac:dyDescent="0.25">
      <c r="A17" s="8" t="s">
        <v>68</v>
      </c>
      <c r="B17" s="8" t="s">
        <v>69</v>
      </c>
      <c r="C17" s="8" t="s">
        <v>70</v>
      </c>
      <c r="D17" s="11">
        <v>50</v>
      </c>
      <c r="E17" s="8">
        <v>35</v>
      </c>
      <c r="F17" s="8" t="s">
        <v>71</v>
      </c>
      <c r="G17" t="str">
        <f t="shared" si="0"/>
        <v>21</v>
      </c>
      <c r="H17" t="str">
        <f t="shared" si="1"/>
        <v>CA</v>
      </c>
      <c r="I17" t="str">
        <f t="shared" si="2"/>
        <v>Laptop Bag Samsonite</v>
      </c>
    </row>
    <row r="18" spans="1:9" ht="15.75" customHeight="1" x14ac:dyDescent="0.25">
      <c r="A18" s="5" t="s">
        <v>72</v>
      </c>
      <c r="B18" s="5" t="s">
        <v>64</v>
      </c>
      <c r="C18" s="5" t="s">
        <v>73</v>
      </c>
      <c r="D18" s="10">
        <v>160</v>
      </c>
      <c r="E18" s="5">
        <v>15</v>
      </c>
      <c r="F18" s="5" t="s">
        <v>27</v>
      </c>
      <c r="G18" t="str">
        <f t="shared" si="0"/>
        <v>20</v>
      </c>
      <c r="H18" t="str">
        <f t="shared" si="1"/>
        <v>CN</v>
      </c>
      <c r="I18" t="str">
        <f t="shared" si="2"/>
        <v>Smartwatch Huawei</v>
      </c>
    </row>
    <row r="19" spans="1:9" ht="15.75" customHeight="1" x14ac:dyDescent="0.25">
      <c r="A19" s="8" t="s">
        <v>74</v>
      </c>
      <c r="B19" s="8" t="s">
        <v>58</v>
      </c>
      <c r="C19" s="8" t="s">
        <v>75</v>
      </c>
      <c r="D19" s="11">
        <v>980</v>
      </c>
      <c r="E19" s="8">
        <v>10</v>
      </c>
      <c r="F19" s="8" t="s">
        <v>27</v>
      </c>
      <c r="G19" t="str">
        <f t="shared" si="0"/>
        <v>27</v>
      </c>
      <c r="H19" t="str">
        <f t="shared" si="1"/>
        <v>IT</v>
      </c>
      <c r="I19" t="str">
        <f t="shared" si="2"/>
        <v>Laptop Asus</v>
      </c>
    </row>
    <row r="20" spans="1:9" ht="15.75" customHeight="1" x14ac:dyDescent="0.25">
      <c r="A20" s="5" t="s">
        <v>76</v>
      </c>
      <c r="B20" s="5" t="s">
        <v>77</v>
      </c>
      <c r="C20" s="5" t="s">
        <v>78</v>
      </c>
      <c r="D20" s="10">
        <v>150</v>
      </c>
      <c r="E20" s="5">
        <v>15</v>
      </c>
      <c r="F20" s="5" t="s">
        <v>31</v>
      </c>
      <c r="G20" t="str">
        <f t="shared" si="0"/>
        <v>01</v>
      </c>
      <c r="H20" t="str">
        <f t="shared" si="1"/>
        <v>UK</v>
      </c>
      <c r="I20" t="str">
        <f t="shared" si="2"/>
        <v>Sunglasses Oakley</v>
      </c>
    </row>
    <row r="21" spans="1:9" ht="15.75" customHeight="1" x14ac:dyDescent="0.25">
      <c r="A21" s="8" t="s">
        <v>79</v>
      </c>
      <c r="B21" s="8" t="s">
        <v>80</v>
      </c>
      <c r="C21" s="8" t="s">
        <v>81</v>
      </c>
      <c r="D21" s="11">
        <f ca="1">MEDIAN(D2:D35)</f>
        <v>0</v>
      </c>
      <c r="E21" s="8">
        <v>10</v>
      </c>
      <c r="F21" s="8" t="s">
        <v>56</v>
      </c>
      <c r="G21" t="str">
        <f t="shared" si="0"/>
        <v>14</v>
      </c>
      <c r="H21" t="str">
        <f t="shared" si="1"/>
        <v>US</v>
      </c>
      <c r="I21" t="str">
        <f t="shared" si="2"/>
        <v>Camping Tent Coleman</v>
      </c>
    </row>
    <row r="22" spans="1:9" ht="15.75" customHeight="1" x14ac:dyDescent="0.25">
      <c r="A22" s="5" t="s">
        <v>82</v>
      </c>
      <c r="B22" s="5" t="s">
        <v>83</v>
      </c>
      <c r="C22" s="5" t="s">
        <v>84</v>
      </c>
      <c r="D22" s="10">
        <v>700</v>
      </c>
      <c r="E22" s="5">
        <v>50</v>
      </c>
      <c r="F22" s="5" t="s">
        <v>27</v>
      </c>
      <c r="G22" t="str">
        <f t="shared" si="0"/>
        <v>14</v>
      </c>
      <c r="H22" t="str">
        <f t="shared" si="1"/>
        <v>RU</v>
      </c>
      <c r="I22" t="str">
        <f t="shared" si="2"/>
        <v>Camera Nikon</v>
      </c>
    </row>
    <row r="23" spans="1:9" ht="15.75" customHeight="1" x14ac:dyDescent="0.25">
      <c r="A23" s="8" t="s">
        <v>85</v>
      </c>
      <c r="B23" s="8" t="s">
        <v>86</v>
      </c>
      <c r="C23" s="8" t="s">
        <v>87</v>
      </c>
      <c r="D23" s="11">
        <v>80</v>
      </c>
      <c r="E23" s="8">
        <v>20</v>
      </c>
      <c r="F23" s="8" t="s">
        <v>35</v>
      </c>
      <c r="G23" t="str">
        <f t="shared" si="0"/>
        <v>09</v>
      </c>
      <c r="H23" t="str">
        <f t="shared" si="1"/>
        <v>CA</v>
      </c>
      <c r="I23" t="str">
        <f t="shared" si="2"/>
        <v>Microwave Panasonic</v>
      </c>
    </row>
    <row r="24" spans="1:9" ht="15.75" customHeight="1" x14ac:dyDescent="0.25">
      <c r="A24" s="5" t="s">
        <v>88</v>
      </c>
      <c r="B24" s="5" t="s">
        <v>89</v>
      </c>
      <c r="C24" s="5" t="s">
        <v>90</v>
      </c>
      <c r="D24" s="10">
        <v>150</v>
      </c>
      <c r="E24" s="5">
        <v>30</v>
      </c>
      <c r="F24" s="5" t="s">
        <v>27</v>
      </c>
      <c r="G24" t="str">
        <f t="shared" si="0"/>
        <v>19</v>
      </c>
      <c r="H24" t="str">
        <f t="shared" si="1"/>
        <v>BR</v>
      </c>
      <c r="I24" t="str">
        <f t="shared" si="2"/>
        <v>Fitness Tracker Xiaomi</v>
      </c>
    </row>
    <row r="25" spans="1:9" ht="15.75" customHeight="1" x14ac:dyDescent="0.25">
      <c r="A25" s="5" t="s">
        <v>91</v>
      </c>
      <c r="B25" s="5" t="s">
        <v>92</v>
      </c>
      <c r="C25" s="5" t="s">
        <v>93</v>
      </c>
      <c r="D25" s="10">
        <v>800</v>
      </c>
      <c r="E25" s="5">
        <v>45</v>
      </c>
      <c r="F25" s="5" t="s">
        <v>27</v>
      </c>
      <c r="G25" t="str">
        <f t="shared" si="0"/>
        <v>29</v>
      </c>
      <c r="H25" t="str">
        <f t="shared" si="1"/>
        <v>CA</v>
      </c>
      <c r="I25" t="str">
        <f t="shared" si="2"/>
        <v>Smartphone Google</v>
      </c>
    </row>
    <row r="26" spans="1:9" ht="15.75" customHeight="1" x14ac:dyDescent="0.25">
      <c r="A26" s="8" t="s">
        <v>94</v>
      </c>
      <c r="B26" s="8" t="s">
        <v>77</v>
      </c>
      <c r="C26" s="8" t="s">
        <v>95</v>
      </c>
      <c r="D26" s="11">
        <f ca="1">MEDIAN(D2:D33)</f>
        <v>0</v>
      </c>
      <c r="E26" s="8">
        <v>25</v>
      </c>
      <c r="F26" s="8" t="s">
        <v>31</v>
      </c>
      <c r="G26" t="str">
        <f t="shared" si="0"/>
        <v>03</v>
      </c>
      <c r="H26" t="str">
        <f t="shared" si="1"/>
        <v>CA</v>
      </c>
      <c r="I26" t="str">
        <f t="shared" si="2"/>
        <v>Sunglasses Ray-Ban</v>
      </c>
    </row>
    <row r="27" spans="1:9" ht="15.75" customHeight="1" x14ac:dyDescent="0.25">
      <c r="A27" s="5" t="s">
        <v>96</v>
      </c>
      <c r="B27" s="5" t="s">
        <v>48</v>
      </c>
      <c r="C27" s="5" t="s">
        <v>97</v>
      </c>
      <c r="D27" s="10">
        <v>400</v>
      </c>
      <c r="E27" s="5">
        <v>40</v>
      </c>
      <c r="F27" s="5" t="s">
        <v>35</v>
      </c>
      <c r="G27" t="str">
        <f t="shared" si="0"/>
        <v>11</v>
      </c>
      <c r="H27" t="str">
        <f t="shared" si="1"/>
        <v>CA</v>
      </c>
      <c r="I27" t="str">
        <f t="shared" si="2"/>
        <v>Blender Vitamix</v>
      </c>
    </row>
    <row r="28" spans="1:9" ht="15.75" customHeight="1" x14ac:dyDescent="0.25">
      <c r="A28" s="5" t="s">
        <v>98</v>
      </c>
      <c r="B28" s="5" t="s">
        <v>99</v>
      </c>
      <c r="C28" s="5" t="s">
        <v>100</v>
      </c>
      <c r="D28" s="10">
        <v>60</v>
      </c>
      <c r="E28" s="5">
        <v>30</v>
      </c>
      <c r="F28" s="5" t="s">
        <v>31</v>
      </c>
      <c r="G28" t="str">
        <f t="shared" si="0"/>
        <v>07</v>
      </c>
      <c r="H28" t="str">
        <f t="shared" si="1"/>
        <v>CA</v>
      </c>
      <c r="I28" t="str">
        <f t="shared" si="2"/>
        <v>Dress Zara</v>
      </c>
    </row>
    <row r="29" spans="1:9" ht="15.75" customHeight="1" x14ac:dyDescent="0.25">
      <c r="A29" s="8" t="s">
        <v>101</v>
      </c>
      <c r="B29" s="8" t="s">
        <v>102</v>
      </c>
      <c r="C29" s="8" t="s">
        <v>103</v>
      </c>
      <c r="D29" s="11">
        <v>40</v>
      </c>
      <c r="E29" s="8">
        <v>10</v>
      </c>
      <c r="F29" s="8" t="s">
        <v>35</v>
      </c>
      <c r="G29" t="str">
        <f t="shared" si="0"/>
        <v>13</v>
      </c>
      <c r="H29" t="str">
        <f t="shared" si="1"/>
        <v>CA</v>
      </c>
      <c r="I29" t="str">
        <f t="shared" si="2"/>
        <v>Toaster Hamilton</v>
      </c>
    </row>
    <row r="30" spans="1:9" ht="15.75" customHeight="1" x14ac:dyDescent="0.25">
      <c r="A30" s="5" t="s">
        <v>104</v>
      </c>
      <c r="B30" s="5" t="s">
        <v>89</v>
      </c>
      <c r="C30" s="5" t="s">
        <v>105</v>
      </c>
      <c r="D30" s="10">
        <v>130</v>
      </c>
      <c r="E30" s="5">
        <v>5</v>
      </c>
      <c r="F30" s="5" t="s">
        <v>27</v>
      </c>
      <c r="G30" t="str">
        <f t="shared" si="0"/>
        <v>24</v>
      </c>
      <c r="H30" t="str">
        <f t="shared" si="1"/>
        <v>CA</v>
      </c>
      <c r="I30" t="str">
        <f t="shared" si="2"/>
        <v>Fitness Tracker Garmin</v>
      </c>
    </row>
    <row r="31" spans="1:9" ht="15.75" customHeight="1" x14ac:dyDescent="0.25">
      <c r="A31" s="8" t="s">
        <v>106</v>
      </c>
      <c r="B31" s="8" t="s">
        <v>107</v>
      </c>
      <c r="C31" s="8" t="s">
        <v>108</v>
      </c>
      <c r="D31" s="11">
        <v>50</v>
      </c>
      <c r="E31" s="8">
        <v>50</v>
      </c>
      <c r="F31" s="8" t="s">
        <v>31</v>
      </c>
      <c r="G31" t="str">
        <f t="shared" si="0"/>
        <v>02</v>
      </c>
      <c r="H31" t="str">
        <f t="shared" si="1"/>
        <v>CA</v>
      </c>
      <c r="I31" t="str">
        <f t="shared" si="2"/>
        <v>Jeans Levi's</v>
      </c>
    </row>
    <row r="32" spans="1:9" ht="15.75" customHeight="1" x14ac:dyDescent="0.25">
      <c r="A32" s="8" t="s">
        <v>109</v>
      </c>
      <c r="B32" s="8" t="s">
        <v>110</v>
      </c>
      <c r="C32" s="8" t="s">
        <v>111</v>
      </c>
      <c r="D32" s="11">
        <v>100</v>
      </c>
      <c r="E32" s="8">
        <v>20</v>
      </c>
      <c r="F32" s="8" t="s">
        <v>71</v>
      </c>
      <c r="G32" t="str">
        <f t="shared" si="0"/>
        <v>09</v>
      </c>
      <c r="H32" t="str">
        <f t="shared" si="1"/>
        <v>FR</v>
      </c>
      <c r="I32" t="str">
        <f t="shared" si="2"/>
        <v>Watch Casio</v>
      </c>
    </row>
    <row r="33" spans="4:6" ht="15.75" customHeight="1" x14ac:dyDescent="0.25"/>
    <row r="34" spans="4:6" ht="15.75" customHeight="1" x14ac:dyDescent="0.25"/>
    <row r="35" spans="4:6" ht="15.75" customHeight="1" x14ac:dyDescent="0.25"/>
    <row r="36" spans="4:6" ht="15.75" customHeight="1" x14ac:dyDescent="0.25"/>
    <row r="37" spans="4:6" ht="15.75" customHeight="1" x14ac:dyDescent="0.25"/>
    <row r="38" spans="4:6" ht="15.75" customHeight="1" x14ac:dyDescent="0.25"/>
    <row r="39" spans="4:6" ht="15.75" customHeight="1" x14ac:dyDescent="0.25"/>
    <row r="40" spans="4:6" ht="15.75" customHeight="1" x14ac:dyDescent="0.25"/>
    <row r="41" spans="4:6" ht="15.75" customHeight="1" x14ac:dyDescent="0.25"/>
    <row r="42" spans="4:6" ht="15.75" customHeight="1" x14ac:dyDescent="0.25">
      <c r="D42">
        <v>1</v>
      </c>
      <c r="E42" t="s">
        <v>112</v>
      </c>
    </row>
    <row r="43" spans="4:6" ht="15.75" customHeight="1" x14ac:dyDescent="0.25">
      <c r="E43" t="s">
        <v>113</v>
      </c>
      <c r="F43">
        <v>3</v>
      </c>
    </row>
    <row r="44" spans="4:6" ht="15.75" customHeight="1" x14ac:dyDescent="0.25">
      <c r="F44" t="s">
        <v>114</v>
      </c>
    </row>
    <row r="45" spans="4:6" ht="15.75" customHeight="1" x14ac:dyDescent="0.25">
      <c r="F45" t="s">
        <v>115</v>
      </c>
    </row>
    <row r="46" spans="4:6" ht="15.75" customHeight="1" x14ac:dyDescent="0.25">
      <c r="E46" t="s">
        <v>24</v>
      </c>
      <c r="F46">
        <f>COUNTBLANK(F2:F35)</f>
        <v>3</v>
      </c>
    </row>
    <row r="47" spans="4:6" ht="15.75" customHeight="1" x14ac:dyDescent="0.25">
      <c r="F47" t="s">
        <v>116</v>
      </c>
    </row>
    <row r="48" spans="4:6" ht="15.75" customHeight="1" x14ac:dyDescent="0.25">
      <c r="F48" t="s">
        <v>117</v>
      </c>
    </row>
    <row r="49" spans="4:6" ht="15.75" customHeight="1" x14ac:dyDescent="0.25"/>
    <row r="50" spans="4:6" ht="15.75" customHeight="1" x14ac:dyDescent="0.25">
      <c r="D50">
        <v>2</v>
      </c>
      <c r="E50" t="s">
        <v>118</v>
      </c>
    </row>
    <row r="51" spans="4:6" ht="15.75" customHeight="1" x14ac:dyDescent="0.25">
      <c r="E51" t="s">
        <v>58</v>
      </c>
      <c r="F51" t="s">
        <v>58</v>
      </c>
    </row>
    <row r="52" spans="4:6" ht="15.75" customHeight="1" x14ac:dyDescent="0.25">
      <c r="E52" t="s">
        <v>92</v>
      </c>
      <c r="F52" t="s">
        <v>92</v>
      </c>
    </row>
    <row r="53" spans="4:6" ht="15.75" customHeight="1" x14ac:dyDescent="0.25">
      <c r="E53" t="s">
        <v>42</v>
      </c>
      <c r="F53" t="s">
        <v>42</v>
      </c>
    </row>
    <row r="54" spans="4:6" ht="15.75" customHeight="1" x14ac:dyDescent="0.25"/>
    <row r="55" spans="4:6" ht="15.75" customHeight="1" x14ac:dyDescent="0.25">
      <c r="E55" t="s">
        <v>119</v>
      </c>
    </row>
    <row r="56" spans="4:6" ht="15.75" customHeight="1" x14ac:dyDescent="0.25">
      <c r="E56" t="s">
        <v>27</v>
      </c>
      <c r="F56" t="s">
        <v>27</v>
      </c>
    </row>
    <row r="57" spans="4:6" ht="15.75" customHeight="1" x14ac:dyDescent="0.25"/>
    <row r="58" spans="4:6" ht="15.75" customHeight="1" x14ac:dyDescent="0.25">
      <c r="D58">
        <v>3</v>
      </c>
      <c r="E58" t="s">
        <v>120</v>
      </c>
    </row>
    <row r="59" spans="4:6" ht="15.75" customHeight="1" x14ac:dyDescent="0.25">
      <c r="E59" t="s">
        <v>121</v>
      </c>
    </row>
    <row r="60" spans="4:6" ht="15.75" customHeight="1" x14ac:dyDescent="0.25"/>
    <row r="61" spans="4:6" ht="15.75" customHeight="1" x14ac:dyDescent="0.25"/>
    <row r="62" spans="4:6" ht="15.75" customHeight="1" x14ac:dyDescent="0.25"/>
    <row r="63" spans="4:6" ht="15.75" customHeight="1" x14ac:dyDescent="0.25"/>
    <row r="64" spans="4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D1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3:D30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3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32">
    <cfRule type="expression" priority="7">
      <formula>"Electronics"</formula>
    </cfRule>
  </conditionalFormatting>
  <conditionalFormatting sqref="F1:F1048576">
    <cfRule type="expression" dxfId="2" priority="6" stopIfTrue="1">
      <formula>"Electronics"</formula>
    </cfRule>
    <cfRule type="colorScale" priority="5">
      <colorScale>
        <cfvo type="min"/>
        <cfvo type="max"/>
        <color rgb="FFFF7128"/>
        <color rgb="FFFFEF9C"/>
      </colorScale>
    </cfRule>
    <cfRule type="expression" dxfId="1" priority="2">
      <formula>"Electronics"</formula>
    </cfRule>
  </conditionalFormatting>
  <conditionalFormatting sqref="G1">
    <cfRule type="expression" dxfId="3" priority="3">
      <formula>"Electronics"</formula>
    </cfRule>
  </conditionalFormatting>
  <conditionalFormatting sqref="F2:F32">
    <cfRule type="expression" dxfId="0" priority="1">
      <formula>F2="Electronics"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Muhmmed Ameen</cp:lastModifiedBy>
  <dcterms:modified xsi:type="dcterms:W3CDTF">2026-09-11T10:54:11Z</dcterms:modified>
</cp:coreProperties>
</file>